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0" autoFilterDateGrouping="1"/>
  </bookViews>
  <sheets>
    <sheet name="Sheet1" sheetId="1" state="visible" r:id="rId1"/>
    <sheet name="Каскады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7" tint="-0.249977111117893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1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5" fillId="0" borderId="0" pivotButton="0" quotePrefix="0" xfId="0"/>
    <xf numFmtId="1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2" pivotButton="0" quotePrefix="0" xfId="0"/>
    <xf numFmtId="0" fontId="6" fillId="4" borderId="2" pivotButton="0" quotePrefix="0" xfId="0"/>
    <xf numFmtId="0" fontId="0" fillId="0" borderId="2" pivotButton="0" quotePrefix="0" xfId="0"/>
    <xf numFmtId="0" fontId="6" fillId="5" borderId="2" pivotButton="0" quotePrefix="0" xfId="0"/>
    <xf numFmtId="0" fontId="0" fillId="5" borderId="2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M140"/>
  <sheetViews>
    <sheetView tabSelected="1" topLeftCell="A11" zoomScale="115" zoomScaleNormal="115" workbookViewId="0">
      <selection activeCell="C22" sqref="C22:R22"/>
    </sheetView>
  </sheetViews>
  <sheetFormatPr baseColWidth="8" defaultRowHeight="14.4"/>
  <cols>
    <col width="9.109375" customWidth="1" style="21" min="1" max="1"/>
    <col width="46" bestFit="1" customWidth="1" style="21" min="2" max="2"/>
    <col width="9.44140625" customWidth="1" style="21" min="14" max="14"/>
    <col width="8.77734375" customWidth="1" style="21" min="15" max="15"/>
    <col width="14.6640625" bestFit="1" customWidth="1" style="21" min="19" max="19"/>
    <col width="11.33203125" bestFit="1" customWidth="1" style="21" min="26" max="26"/>
  </cols>
  <sheetData>
    <row r="1" ht="21" customHeight="1" s="21"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</row>
    <row r="2" ht="21" customHeight="1" s="21"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</row>
    <row r="3" ht="21" customHeight="1" s="21"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</row>
    <row r="4" ht="21" customHeight="1" s="21"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 ht="21" customFormat="1" customHeight="1" s="10">
      <c r="B5" s="3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 ht="21" customFormat="1" customHeight="1" s="10"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 ht="21" customHeight="1" s="21">
      <c r="B7" s="11" t="inlineStr">
        <is>
          <t>Адрес</t>
        </is>
      </c>
      <c r="C7" s="20" t="n">
        <v>127</v>
      </c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</row>
    <row r="8" ht="21" customHeight="1" s="21">
      <c r="B8" s="11" t="n"/>
      <c r="C8" s="20" t="n"/>
      <c r="D8" s="20" t="n"/>
      <c r="E8" s="12" t="n"/>
      <c r="F8" s="12" t="n"/>
      <c r="G8" s="12" t="n"/>
      <c r="H8" s="10" t="n"/>
      <c r="I8" s="10" t="n"/>
      <c r="J8" s="10" t="n"/>
      <c r="K8" s="10" t="n"/>
      <c r="L8" s="10" t="n"/>
      <c r="M8" s="10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</row>
    <row r="9" ht="21" customHeight="1" s="21">
      <c r="B9" s="3" t="inlineStr">
        <is>
          <t>Парадная</t>
        </is>
      </c>
      <c r="C9" s="13" t="inlineStr">
        <is>
          <t>1 п</t>
        </is>
      </c>
      <c r="D9" s="13" t="inlineStr">
        <is>
          <t>2 п</t>
        </is>
      </c>
      <c r="E9" s="13" t="inlineStr">
        <is>
          <t>3 п</t>
        </is>
      </c>
      <c r="F9" s="13" t="inlineStr">
        <is>
          <t>4 п</t>
        </is>
      </c>
      <c r="G9" s="13" t="inlineStr">
        <is>
          <t>5 п</t>
        </is>
      </c>
      <c r="H9" s="13" t="inlineStr">
        <is>
          <t>6 п</t>
        </is>
      </c>
      <c r="I9" s="13" t="inlineStr">
        <is>
          <t>7 п</t>
        </is>
      </c>
      <c r="J9" s="13" t="inlineStr">
        <is>
          <t>8 п</t>
        </is>
      </c>
      <c r="K9" s="13" t="inlineStr">
        <is>
          <t>9 п</t>
        </is>
      </c>
      <c r="L9" s="13" t="inlineStr">
        <is>
          <t>10 п</t>
        </is>
      </c>
      <c r="M9" s="13" t="inlineStr">
        <is>
          <t>11 п</t>
        </is>
      </c>
      <c r="N9" s="13" t="inlineStr">
        <is>
          <t>12 п</t>
        </is>
      </c>
      <c r="O9" s="13" t="inlineStr">
        <is>
          <t>13 п</t>
        </is>
      </c>
      <c r="P9" s="13" t="inlineStr">
        <is>
          <t>14 п</t>
        </is>
      </c>
      <c r="Q9" s="13" t="inlineStr">
        <is>
          <t>15 п</t>
        </is>
      </c>
      <c r="R9" s="13" t="inlineStr">
        <is>
          <t>16 п</t>
        </is>
      </c>
      <c r="S9" s="13" t="inlineStr">
        <is>
          <t>17 п</t>
        </is>
      </c>
      <c r="T9" s="13" t="inlineStr">
        <is>
          <t>18 п</t>
        </is>
      </c>
      <c r="U9" s="13" t="inlineStr">
        <is>
          <t>19 п</t>
        </is>
      </c>
      <c r="V9" s="13" t="inlineStr">
        <is>
          <t>20 п</t>
        </is>
      </c>
      <c r="W9" s="13" t="inlineStr">
        <is>
          <t>21 п</t>
        </is>
      </c>
      <c r="X9" s="13" t="inlineStr">
        <is>
          <t>22 п</t>
        </is>
      </c>
      <c r="Y9" s="13" t="inlineStr">
        <is>
          <t>23 п</t>
        </is>
      </c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</row>
    <row r="10" ht="21" customHeight="1" s="21">
      <c r="B10" s="3" t="inlineStr">
        <is>
          <t>Кв. ёмкость</t>
        </is>
      </c>
      <c r="C10" s="2" t="n">
        <v>35</v>
      </c>
      <c r="D10" s="2" t="n">
        <v>26</v>
      </c>
      <c r="E10" s="2" t="n">
        <v>31</v>
      </c>
      <c r="F10" s="2" t="n">
        <v>15</v>
      </c>
      <c r="G10" s="2" t="n">
        <v>15</v>
      </c>
      <c r="H10" s="5" t="n">
        <v>39</v>
      </c>
      <c r="I10" s="5" t="n">
        <v>39</v>
      </c>
      <c r="J10" s="5" t="n">
        <v>35</v>
      </c>
      <c r="K10" s="5" t="n">
        <v>25</v>
      </c>
      <c r="L10" s="5" t="n">
        <v>39</v>
      </c>
      <c r="M10" s="5" t="n">
        <v>12</v>
      </c>
      <c r="N10" s="5" t="n">
        <v>51</v>
      </c>
      <c r="O10" s="5" t="n">
        <v>19</v>
      </c>
      <c r="P10" s="5" t="n">
        <v>51</v>
      </c>
      <c r="Q10" s="5" t="n">
        <v>12</v>
      </c>
      <c r="R10" s="5" t="n">
        <v>39</v>
      </c>
      <c r="S10" s="5" t="n">
        <v>27</v>
      </c>
      <c r="T10" s="5" t="n">
        <v>28</v>
      </c>
      <c r="U10" s="5" t="n">
        <v>39</v>
      </c>
      <c r="V10" s="5" t="n">
        <v>38</v>
      </c>
      <c r="W10" s="5" t="n">
        <v>34</v>
      </c>
      <c r="X10" s="5" t="n">
        <v>51</v>
      </c>
      <c r="Y10" s="5" t="n">
        <v>43</v>
      </c>
      <c r="Z10" s="11">
        <f>SUM(C10:Y10)</f>
        <v/>
      </c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</row>
    <row r="11" ht="21" customHeight="1" s="21">
      <c r="B11" s="3" t="inlineStr">
        <is>
          <t>Коммерция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8</v>
      </c>
      <c r="M11" s="2" t="n">
        <v>2</v>
      </c>
      <c r="N11" s="2" t="n">
        <v>5</v>
      </c>
      <c r="O11" s="2" t="n">
        <v>1</v>
      </c>
      <c r="P11" s="2" t="n">
        <v>5</v>
      </c>
      <c r="Q11" s="2" t="n">
        <v>2</v>
      </c>
      <c r="R11" s="2" t="n">
        <v>8</v>
      </c>
      <c r="S11" s="2" t="n">
        <v>2</v>
      </c>
      <c r="T11" s="2" t="n">
        <v>1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1">
        <f>SUM(C11:Y11)</f>
        <v/>
      </c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</row>
    <row r="12" ht="21" customHeight="1" s="21">
      <c r="B12" s="9" t="inlineStr">
        <is>
          <t>Делители 1/4 шт. (абон в подвале)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11" t="n">
        <v>49</v>
      </c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</row>
    <row r="13" ht="21" customHeight="1" s="21">
      <c r="B13" s="9" t="inlineStr">
        <is>
          <t>Делители 1/8 шт. (абон. в подвале)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11" t="n">
        <v>32</v>
      </c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</row>
    <row r="14" ht="21" customHeight="1" s="21">
      <c r="B14" s="3" t="inlineStr">
        <is>
          <t>Делителей 1/4 шт. (абонентские)</t>
        </is>
      </c>
      <c r="C14" s="16" t="n">
        <v>3.25</v>
      </c>
      <c r="D14" s="16" t="n">
        <v>4</v>
      </c>
      <c r="E14" s="16" t="n">
        <v>2.75</v>
      </c>
      <c r="F14" s="16" t="n">
        <v>2.25</v>
      </c>
      <c r="G14" s="16" t="n">
        <v>2.25</v>
      </c>
      <c r="H14" s="16" t="n">
        <v>1.75</v>
      </c>
      <c r="I14" s="16" t="n">
        <v>1.75</v>
      </c>
      <c r="J14" s="16" t="n">
        <v>3.25</v>
      </c>
      <c r="K14" s="16" t="n">
        <v>3.75</v>
      </c>
      <c r="L14" s="16" t="n">
        <v>0.25</v>
      </c>
      <c r="M14" s="16" t="n">
        <v>1.75</v>
      </c>
      <c r="N14" s="16" t="n">
        <v>2</v>
      </c>
      <c r="O14" s="16" t="n">
        <v>2.75</v>
      </c>
      <c r="P14" s="16" t="n">
        <v>2</v>
      </c>
      <c r="Q14" s="16" t="n">
        <v>1.75</v>
      </c>
      <c r="R14" s="16" t="n">
        <v>0.25</v>
      </c>
      <c r="S14" s="16" t="n">
        <v>2.25</v>
      </c>
      <c r="T14" s="16" t="n">
        <v>2.25</v>
      </c>
      <c r="U14" s="16" t="n">
        <v>1.75</v>
      </c>
      <c r="V14" s="16" t="n">
        <v>1.75</v>
      </c>
      <c r="W14" s="16" t="n">
        <v>3</v>
      </c>
      <c r="X14" s="16" t="n">
        <v>1.75</v>
      </c>
      <c r="Y14" s="16" t="n">
        <v>0.5</v>
      </c>
      <c r="Z14" s="14">
        <f>SUM(C14:Y14)</f>
        <v/>
      </c>
      <c r="AA14" s="14">
        <f>Z14/32</f>
        <v/>
      </c>
      <c r="AB14" s="17" t="inlineStr">
        <is>
          <t>цепочек «484» (абон. 1×4 по 32 шт.)</t>
        </is>
      </c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</row>
    <row r="15" ht="21" customHeight="1" s="21">
      <c r="B15" s="3" t="inlineStr">
        <is>
          <t>Делителей 1/8 шт. (абонентские)</t>
        </is>
      </c>
      <c r="C15" s="16" t="n">
        <v>1</v>
      </c>
      <c r="D15" s="16" t="n">
        <v>0</v>
      </c>
      <c r="E15" s="16" t="n">
        <v>1</v>
      </c>
      <c r="F15" s="16" t="n">
        <v>0</v>
      </c>
      <c r="G15" s="16" t="n">
        <v>0</v>
      </c>
      <c r="H15" s="16" t="n">
        <v>2</v>
      </c>
      <c r="I15" s="16" t="n">
        <v>2</v>
      </c>
      <c r="J15" s="16" t="n">
        <v>1</v>
      </c>
      <c r="K15" s="16" t="n">
        <v>0</v>
      </c>
      <c r="L15" s="16" t="n">
        <v>3</v>
      </c>
      <c r="M15" s="16" t="n">
        <v>0</v>
      </c>
      <c r="N15" s="16" t="n">
        <v>3</v>
      </c>
      <c r="O15" s="16" t="n">
        <v>0</v>
      </c>
      <c r="P15" s="16" t="n">
        <v>3</v>
      </c>
      <c r="Q15" s="16" t="n">
        <v>0</v>
      </c>
      <c r="R15" s="16" t="n">
        <v>3</v>
      </c>
      <c r="S15" s="16" t="n">
        <v>1</v>
      </c>
      <c r="T15" s="16" t="n">
        <v>1</v>
      </c>
      <c r="U15" s="16" t="n">
        <v>2</v>
      </c>
      <c r="V15" s="16" t="n">
        <v>2</v>
      </c>
      <c r="W15" s="16" t="n">
        <v>1</v>
      </c>
      <c r="X15" s="16" t="n">
        <v>3</v>
      </c>
      <c r="Y15" s="16" t="n">
        <v>3</v>
      </c>
      <c r="Z15" s="14">
        <f>SUM(C15:Y15)</f>
        <v/>
      </c>
      <c r="AA15" s="14">
        <f>Z15/16</f>
        <v/>
      </c>
      <c r="AB15" s="17" t="inlineStr">
        <is>
          <t>цепочек «844» (абон. 1×8 по 16 шт.)</t>
        </is>
      </c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</row>
    <row r="16" ht="18" customHeight="1" s="21">
      <c r="B16" s="3" t="inlineStr">
        <is>
          <t>Абонен. портов</t>
        </is>
      </c>
      <c r="C16" s="2">
        <f>4*C14+8*C15</f>
        <v/>
      </c>
      <c r="D16" s="2">
        <f>4*D14+8*D15</f>
        <v/>
      </c>
      <c r="E16" s="2">
        <f>4*E14+8*E15</f>
        <v/>
      </c>
      <c r="F16" s="2">
        <f>4*F14+8*F15</f>
        <v/>
      </c>
      <c r="G16" s="2">
        <f>4*G14+8*G15</f>
        <v/>
      </c>
      <c r="H16" s="15">
        <f>4*H14+8*H15</f>
        <v/>
      </c>
      <c r="I16" s="15">
        <f>4*I14+8*I15</f>
        <v/>
      </c>
      <c r="J16" s="15">
        <f>4*J14+8*J15</f>
        <v/>
      </c>
      <c r="K16" s="15">
        <f>4*K14+8*K15</f>
        <v/>
      </c>
      <c r="L16" s="15">
        <f>4*L14+8*L15</f>
        <v/>
      </c>
      <c r="M16" s="15">
        <f>4*M14+8*M15</f>
        <v/>
      </c>
      <c r="N16" s="15">
        <f>4*N14+8*N15</f>
        <v/>
      </c>
      <c r="O16" s="15">
        <f>4*O14+8*O15</f>
        <v/>
      </c>
      <c r="P16" s="15">
        <f>4*P14+8*P15</f>
        <v/>
      </c>
      <c r="Q16" s="15">
        <f>4*Q14+8*Q15</f>
        <v/>
      </c>
      <c r="R16" s="15">
        <f>4*R14+8*R15</f>
        <v/>
      </c>
      <c r="S16" s="15">
        <f>4*S14+8*S15</f>
        <v/>
      </c>
      <c r="T16" s="15">
        <f>4*T14+8*T15</f>
        <v/>
      </c>
      <c r="U16" s="15">
        <f>4*U14+8*U15</f>
        <v/>
      </c>
      <c r="V16" s="15">
        <f>4*V14+8*V15</f>
        <v/>
      </c>
      <c r="W16" s="15">
        <f>4*W14+8*W15</f>
        <v/>
      </c>
      <c r="X16" s="15">
        <f>4*X14+8*X15</f>
        <v/>
      </c>
      <c r="Y16" s="15">
        <f>4*Y14+8*Y15</f>
        <v/>
      </c>
      <c r="Z16" s="11">
        <f>SUM(C16:Y16)</f>
        <v/>
      </c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</row>
    <row r="17" ht="21" customHeight="1" s="21">
      <c r="B17" s="3" t="inlineStr">
        <is>
          <t>Заявленное проникновение, %</t>
        </is>
      </c>
      <c r="C17" s="2" t="n">
        <v>60</v>
      </c>
      <c r="D17" s="2" t="n">
        <v>60</v>
      </c>
      <c r="E17" s="2" t="n">
        <v>60</v>
      </c>
      <c r="F17" s="2" t="n">
        <v>60</v>
      </c>
      <c r="G17" s="2" t="n">
        <v>60</v>
      </c>
      <c r="H17" s="2" t="n">
        <v>60</v>
      </c>
      <c r="I17" s="2" t="n">
        <v>60</v>
      </c>
      <c r="J17" s="2" t="n">
        <v>60</v>
      </c>
      <c r="K17" s="2" t="n">
        <v>60</v>
      </c>
      <c r="L17" s="2" t="n">
        <v>60</v>
      </c>
      <c r="M17" s="2" t="n">
        <v>60</v>
      </c>
      <c r="N17" s="2" t="n">
        <v>60</v>
      </c>
      <c r="O17" s="2" t="n">
        <v>60</v>
      </c>
      <c r="P17" s="2" t="n">
        <v>60</v>
      </c>
      <c r="Q17" s="2" t="n">
        <v>60</v>
      </c>
      <c r="R17" s="2" t="n">
        <v>60</v>
      </c>
      <c r="S17" s="2" t="n">
        <v>60</v>
      </c>
      <c r="T17" s="2" t="n">
        <v>60</v>
      </c>
      <c r="U17" s="2" t="n">
        <v>60</v>
      </c>
      <c r="V17" s="2" t="n">
        <v>60</v>
      </c>
      <c r="W17" s="2" t="n">
        <v>60</v>
      </c>
      <c r="X17" s="2" t="n">
        <v>60</v>
      </c>
      <c r="Y17" s="2" t="n">
        <v>60</v>
      </c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</row>
    <row r="18" ht="21" customHeight="1" s="21">
      <c r="B18" s="8" t="inlineStr">
        <is>
          <t>Заявленное проникновение в коммерцию, %</t>
        </is>
      </c>
      <c r="C18" s="2" t="n">
        <v>20</v>
      </c>
      <c r="D18" s="2" t="n">
        <v>20</v>
      </c>
      <c r="E18" s="2" t="n">
        <v>20</v>
      </c>
      <c r="F18" s="2" t="n">
        <v>20</v>
      </c>
      <c r="G18" s="2" t="n">
        <v>20</v>
      </c>
      <c r="H18" s="2" t="n">
        <v>20</v>
      </c>
      <c r="I18" s="2" t="n">
        <v>20</v>
      </c>
      <c r="J18" s="2" t="n">
        <v>20</v>
      </c>
      <c r="K18" s="2" t="n">
        <v>20</v>
      </c>
      <c r="L18" s="2" t="n">
        <v>20</v>
      </c>
      <c r="M18" s="2" t="n">
        <v>20</v>
      </c>
      <c r="N18" s="2" t="n">
        <v>20</v>
      </c>
      <c r="O18" s="2" t="n">
        <v>20</v>
      </c>
      <c r="P18" s="2" t="n">
        <v>20</v>
      </c>
      <c r="Q18" s="2" t="n">
        <v>20</v>
      </c>
      <c r="R18" s="2" t="n">
        <v>20</v>
      </c>
      <c r="S18" s="2" t="n">
        <v>20</v>
      </c>
      <c r="T18" s="2" t="n">
        <v>20</v>
      </c>
      <c r="U18" s="2" t="n">
        <v>20</v>
      </c>
      <c r="V18" s="2" t="n">
        <v>20</v>
      </c>
      <c r="W18" s="2" t="n">
        <v>20</v>
      </c>
      <c r="X18" s="2" t="n">
        <v>20</v>
      </c>
      <c r="Y18" s="2" t="n">
        <v>20</v>
      </c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</row>
    <row r="19" ht="15" customHeight="1" s="21">
      <c r="B19" s="3" t="inlineStr">
        <is>
          <t>Фактическое проникновение, %</t>
        </is>
      </c>
      <c r="C19" s="4">
        <f>((C16-C11*C18/100)/C10)*100</f>
        <v/>
      </c>
      <c r="D19" s="4">
        <f>((D16-D11*D18/100)/D10)*100</f>
        <v/>
      </c>
      <c r="E19" s="4">
        <f>((E16-E11*E18/100)/E10)*100</f>
        <v/>
      </c>
      <c r="F19" s="4">
        <f>((F16-F11*F18/100)/F10)*100</f>
        <v/>
      </c>
      <c r="G19" s="4">
        <f>((G16-G11*G18/100)/G10)*100</f>
        <v/>
      </c>
      <c r="H19" s="4">
        <f>((H16-H11*H18/100)/H10)*100</f>
        <v/>
      </c>
      <c r="I19" s="4">
        <f>((I16-I11*I18/100)/I10)*100</f>
        <v/>
      </c>
      <c r="J19" s="4">
        <f>((J16-J11*J18/100)/J10)*100</f>
        <v/>
      </c>
      <c r="K19" s="4">
        <f>((K16-K11*K18/100)/K10)*100</f>
        <v/>
      </c>
      <c r="L19" s="4">
        <f>((L16-L11*L18/100)/L10)*100</f>
        <v/>
      </c>
      <c r="M19" s="4">
        <f>((M16-M11*M18/100)/M10)*100</f>
        <v/>
      </c>
      <c r="N19" s="4">
        <f>((N16-N11*N18/100)/N10)*100</f>
        <v/>
      </c>
      <c r="O19" s="4">
        <f>((O16-O11*O18/100)/O10)*100</f>
        <v/>
      </c>
      <c r="P19" s="4">
        <f>((P16-P11*P18/100)/P10)*100</f>
        <v/>
      </c>
      <c r="Q19" s="4">
        <f>((Q16-Q11*Q18/100)/Q10)*100</f>
        <v/>
      </c>
      <c r="R19" s="4">
        <f>((R16-R11*R18/100)/R10)*100</f>
        <v/>
      </c>
      <c r="S19" s="4">
        <f>((S16-S11*S18/100)/S10)*100</f>
        <v/>
      </c>
      <c r="T19" s="4">
        <f>((T16-T11*T18/100)/T10)*100</f>
        <v/>
      </c>
      <c r="U19" s="4">
        <f>((U16-U11*U18/100)/U10)*100</f>
        <v/>
      </c>
      <c r="V19" s="4">
        <f>((V16-V11*V18/100)/V10)*100</f>
        <v/>
      </c>
      <c r="W19" s="4">
        <f>((W16-W11*W18/100)/W10)*100</f>
        <v/>
      </c>
      <c r="X19" s="4">
        <f>((X16-X11*X18/100)/X10)*100</f>
        <v/>
      </c>
      <c r="Y19" s="4">
        <f>((Y16-Y11*Y18/100)/Y10)*100</f>
        <v/>
      </c>
      <c r="Z19" s="14">
        <f>AVERAGE(C19:Y19)</f>
        <v/>
      </c>
      <c r="AA19" s="11">
        <f>((Z16-Z11*C18/100)/Z10)*100</f>
        <v/>
      </c>
      <c r="AB19" s="11" t="inlineStr">
        <is>
          <t>средневзв. по дому, %</t>
        </is>
      </c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</row>
    <row r="20" ht="21" customHeight="1" s="21">
      <c r="B20" s="3" t="inlineStr">
        <is>
          <t>Отклонение, %</t>
        </is>
      </c>
      <c r="C20" s="1">
        <f>C19-C17</f>
        <v/>
      </c>
      <c r="D20" s="1">
        <f>D19-D17</f>
        <v/>
      </c>
      <c r="E20" s="1">
        <f>E19-E17</f>
        <v/>
      </c>
      <c r="F20" s="1">
        <f>F19-F17</f>
        <v/>
      </c>
      <c r="G20" s="1">
        <f>G19-G17</f>
        <v/>
      </c>
      <c r="H20" s="1">
        <f>H19-H17</f>
        <v/>
      </c>
      <c r="I20" s="1">
        <f>I19-I17</f>
        <v/>
      </c>
      <c r="J20" s="1">
        <f>J19-J17</f>
        <v/>
      </c>
      <c r="K20" s="1">
        <f>K19-K17</f>
        <v/>
      </c>
      <c r="L20" s="1">
        <f>L19-L17</f>
        <v/>
      </c>
      <c r="M20" s="1">
        <f>M19-M17</f>
        <v/>
      </c>
      <c r="N20" s="1">
        <f>N19-N17</f>
        <v/>
      </c>
      <c r="O20" s="1">
        <f>O19-O17</f>
        <v/>
      </c>
      <c r="P20" s="1">
        <f>P19-P17</f>
        <v/>
      </c>
      <c r="Q20" s="1">
        <f>Q19-Q17</f>
        <v/>
      </c>
      <c r="R20" s="1">
        <f>R19-R17</f>
        <v/>
      </c>
      <c r="S20" s="1">
        <f>S19-S17</f>
        <v/>
      </c>
      <c r="T20" s="1">
        <f>T19-T17</f>
        <v/>
      </c>
      <c r="U20" s="1">
        <f>U19-U17</f>
        <v/>
      </c>
      <c r="V20" s="1">
        <f>V19-V17</f>
        <v/>
      </c>
      <c r="W20" s="1">
        <f>W19-W17</f>
        <v/>
      </c>
      <c r="X20" s="1">
        <f>X19-X17</f>
        <v/>
      </c>
      <c r="Y20" s="1">
        <f>Y19-Y17</f>
        <v/>
      </c>
      <c r="Z20" s="14">
        <f>AVERAGE(C20:Y20)</f>
        <v/>
      </c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</row>
    <row r="21" ht="21" customHeight="1" s="21">
      <c r="B21" s="7" t="n"/>
      <c r="C21" s="2" t="n"/>
      <c r="D21" s="2" t="n"/>
      <c r="M21" s="6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</row>
    <row r="22" ht="21" customHeight="1" s="21">
      <c r="B22" s="11" t="inlineStr">
        <is>
          <t>Адрес</t>
        </is>
      </c>
      <c r="C22" s="20" t="n">
        <v>129</v>
      </c>
      <c r="S22" s="5" t="n"/>
      <c r="T22" s="5" t="n"/>
      <c r="U22" s="5" t="n"/>
      <c r="V22" s="5" t="n"/>
      <c r="W22" s="5" t="n"/>
      <c r="X22" s="5" t="n"/>
      <c r="Y22" s="5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 ht="15" customHeight="1" s="21">
      <c r="B23" s="11" t="n"/>
      <c r="C23" s="20" t="n"/>
      <c r="D23" s="20" t="n"/>
      <c r="E23" s="12" t="n"/>
      <c r="F23" s="12" t="n"/>
      <c r="G23" s="12" t="n"/>
      <c r="H23" s="10" t="n"/>
      <c r="I23" s="10" t="n"/>
      <c r="J23" s="10" t="n"/>
      <c r="K23" s="10" t="n"/>
      <c r="L23" s="10" t="n"/>
      <c r="M23" s="10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 ht="21" customHeight="1" s="21">
      <c r="B24" s="3" t="inlineStr">
        <is>
          <t>Парадная</t>
        </is>
      </c>
      <c r="C24" s="13" t="inlineStr">
        <is>
          <t>1 п</t>
        </is>
      </c>
      <c r="D24" s="13" t="inlineStr">
        <is>
          <t>2 п</t>
        </is>
      </c>
      <c r="E24" s="13" t="inlineStr">
        <is>
          <t>3 п</t>
        </is>
      </c>
      <c r="F24" s="13" t="inlineStr">
        <is>
          <t>4 п</t>
        </is>
      </c>
      <c r="G24" s="13" t="inlineStr">
        <is>
          <t>5 п</t>
        </is>
      </c>
      <c r="H24" s="13" t="inlineStr">
        <is>
          <t>6 п</t>
        </is>
      </c>
      <c r="I24" s="13" t="inlineStr">
        <is>
          <t>7 п</t>
        </is>
      </c>
      <c r="J24" s="13" t="inlineStr">
        <is>
          <t>8 п</t>
        </is>
      </c>
      <c r="K24" s="13" t="inlineStr">
        <is>
          <t>9 п</t>
        </is>
      </c>
      <c r="L24" s="13" t="inlineStr">
        <is>
          <t>10 п</t>
        </is>
      </c>
      <c r="M24" s="13" t="inlineStr">
        <is>
          <t>11 п</t>
        </is>
      </c>
      <c r="N24" s="13" t="inlineStr">
        <is>
          <t>12 п</t>
        </is>
      </c>
      <c r="O24" s="13" t="inlineStr">
        <is>
          <t>13 п</t>
        </is>
      </c>
      <c r="P24" s="13" t="inlineStr">
        <is>
          <t>14 п</t>
        </is>
      </c>
      <c r="Q24" s="13" t="inlineStr">
        <is>
          <t>15 п</t>
        </is>
      </c>
      <c r="R24" s="13" t="inlineStr">
        <is>
          <t>16 п</t>
        </is>
      </c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</row>
    <row r="25" ht="21" customHeight="1" s="21">
      <c r="B25" s="3" t="inlineStr">
        <is>
          <t>Кв. ёмкость</t>
        </is>
      </c>
      <c r="C25" s="2" t="n">
        <v>28</v>
      </c>
      <c r="D25" s="2" t="n">
        <v>21</v>
      </c>
      <c r="E25" s="2" t="n">
        <v>36</v>
      </c>
      <c r="F25" s="2" t="n">
        <v>36</v>
      </c>
      <c r="G25" s="2" t="n">
        <v>38</v>
      </c>
      <c r="H25" s="5" t="n">
        <v>51</v>
      </c>
      <c r="I25" s="5" t="n">
        <v>35</v>
      </c>
      <c r="J25" s="5" t="n">
        <v>51</v>
      </c>
      <c r="K25" s="5" t="n">
        <v>38</v>
      </c>
      <c r="L25" s="5" t="n">
        <v>31</v>
      </c>
      <c r="M25" s="5" t="n">
        <v>15</v>
      </c>
      <c r="N25" s="5" t="n">
        <v>31</v>
      </c>
      <c r="O25" s="5" t="n">
        <v>15</v>
      </c>
      <c r="P25" s="5" t="n">
        <v>15</v>
      </c>
      <c r="Q25" s="5" t="n">
        <v>39</v>
      </c>
      <c r="R25" s="5" t="n">
        <v>39</v>
      </c>
      <c r="S25" s="18">
        <f>SUM(C25:R25)</f>
        <v/>
      </c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</row>
    <row r="26" ht="21" customHeight="1" s="21">
      <c r="B26" s="3" t="inlineStr">
        <is>
          <t>Коммерция</t>
        </is>
      </c>
      <c r="C26" s="2" t="n">
        <v>7</v>
      </c>
      <c r="D26" s="2" t="n">
        <v>9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2" t="n">
        <v>4</v>
      </c>
      <c r="R26" s="2" t="n">
        <v>3</v>
      </c>
      <c r="S26" s="18">
        <f>SUM(C26:R26)</f>
        <v/>
      </c>
      <c r="T26" s="11" t="n"/>
      <c r="U26" s="11" t="n"/>
      <c r="V26" s="11" t="n"/>
      <c r="W26" s="11" t="n"/>
    </row>
    <row r="27" ht="21" customHeight="1" s="21">
      <c r="B27" s="9" t="inlineStr">
        <is>
          <t>Делители 1/4 шт. (абон в подвале)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14" t="n"/>
      <c r="T27" s="11" t="n"/>
      <c r="U27" s="11" t="n"/>
      <c r="V27" s="11" t="n"/>
      <c r="W27" s="11" t="n"/>
    </row>
    <row r="28" ht="15" customHeight="1" s="21">
      <c r="B28" s="9" t="inlineStr">
        <is>
          <t>Делители 1/8 шт. (абон. в подвале)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14" t="n"/>
      <c r="T28" s="17" t="n"/>
      <c r="U28" s="17" t="n"/>
      <c r="V28" s="11" t="n"/>
      <c r="W28" s="11" t="n"/>
    </row>
    <row r="29" ht="15" customHeight="1" s="21">
      <c r="B29" s="3" t="inlineStr">
        <is>
          <t>Делителей 1/4 шт. (абонентские)</t>
        </is>
      </c>
      <c r="C29" s="16" t="n">
        <v>2.5</v>
      </c>
      <c r="D29" s="16" t="n">
        <v>3.5</v>
      </c>
      <c r="E29" s="16" t="n">
        <v>3.5</v>
      </c>
      <c r="F29" s="16" t="n">
        <v>3.5</v>
      </c>
      <c r="G29" s="16" t="n">
        <v>3.75</v>
      </c>
      <c r="H29" s="16" t="n">
        <v>1.75</v>
      </c>
      <c r="I29" s="16" t="n">
        <v>3.25</v>
      </c>
      <c r="J29" s="16" t="n">
        <v>1.75</v>
      </c>
      <c r="K29" s="16" t="n">
        <v>3.75</v>
      </c>
      <c r="L29" s="16" t="n">
        <v>2.5</v>
      </c>
      <c r="M29" s="16" t="n">
        <v>2.25</v>
      </c>
      <c r="N29" s="16" t="n">
        <v>2.5</v>
      </c>
      <c r="O29" s="16" t="n">
        <v>2.25</v>
      </c>
      <c r="P29" s="16" t="n">
        <v>2.25</v>
      </c>
      <c r="Q29" s="16" t="n">
        <v>4</v>
      </c>
      <c r="R29" s="16" t="n">
        <v>4</v>
      </c>
      <c r="S29" s="14">
        <f>SUM(C29:R29)</f>
        <v/>
      </c>
      <c r="T29" s="14">
        <f>S29/32</f>
        <v/>
      </c>
      <c r="U29" s="17" t="inlineStr">
        <is>
          <t>цепочек «484»</t>
        </is>
      </c>
      <c r="V29" s="11" t="n"/>
      <c r="W29" s="11" t="n"/>
    </row>
    <row r="30" ht="15" customHeight="1" s="21">
      <c r="B30" s="3" t="inlineStr">
        <is>
          <t>Делителей 1/8 шт. (абонентские)</t>
        </is>
      </c>
      <c r="C30" s="16" t="n">
        <v>1</v>
      </c>
      <c r="D30" s="16" t="n">
        <v>0</v>
      </c>
      <c r="E30" s="16" t="n">
        <v>1</v>
      </c>
      <c r="F30" s="16" t="n">
        <v>1</v>
      </c>
      <c r="G30" s="16" t="n">
        <v>1</v>
      </c>
      <c r="H30" s="16" t="n">
        <v>3</v>
      </c>
      <c r="I30" s="16" t="n">
        <v>1</v>
      </c>
      <c r="J30" s="16" t="n">
        <v>3</v>
      </c>
      <c r="K30" s="16" t="n">
        <v>1</v>
      </c>
      <c r="L30" s="16" t="n">
        <v>1</v>
      </c>
      <c r="M30" s="16" t="n">
        <v>0</v>
      </c>
      <c r="N30" s="16" t="n">
        <v>1</v>
      </c>
      <c r="O30" s="16" t="n">
        <v>0</v>
      </c>
      <c r="P30" s="16" t="n">
        <v>0</v>
      </c>
      <c r="Q30" s="16" t="n">
        <v>1</v>
      </c>
      <c r="R30" s="16" t="n">
        <v>1</v>
      </c>
      <c r="S30" s="14">
        <f>SUM(C30:R30)</f>
        <v/>
      </c>
      <c r="T30" s="14">
        <f>S30/16</f>
        <v/>
      </c>
      <c r="U30" s="17" t="inlineStr">
        <is>
          <t>цепочек «844»</t>
        </is>
      </c>
      <c r="V30" s="11" t="n"/>
      <c r="W30" s="11" t="n"/>
    </row>
    <row r="31" ht="15" customHeight="1" s="21">
      <c r="B31" s="3" t="inlineStr">
        <is>
          <t>Абонен. портов</t>
        </is>
      </c>
      <c r="C31" s="2">
        <f>4*C29+8*C30</f>
        <v/>
      </c>
      <c r="D31" s="2">
        <f>4*D29+8*D30</f>
        <v/>
      </c>
      <c r="E31" s="2">
        <f>4*E29+8*E30</f>
        <v/>
      </c>
      <c r="F31" s="2">
        <f>4*F29+8*F30</f>
        <v/>
      </c>
      <c r="G31" s="2">
        <f>4*G29+8*G30</f>
        <v/>
      </c>
      <c r="H31" s="2">
        <f>4*H29+8*H30</f>
        <v/>
      </c>
      <c r="I31" s="2">
        <f>4*I29+8*I30</f>
        <v/>
      </c>
      <c r="J31" s="2">
        <f>4*J29+8*J30</f>
        <v/>
      </c>
      <c r="K31" s="2">
        <f>4*K29+8*K30</f>
        <v/>
      </c>
      <c r="L31" s="2">
        <f>4*L29+8*L30</f>
        <v/>
      </c>
      <c r="M31" s="5">
        <f>4*M29+8*M30</f>
        <v/>
      </c>
      <c r="N31" s="5">
        <f>4*N29+8*N30</f>
        <v/>
      </c>
      <c r="O31" s="5">
        <f>4*O29+8*O30</f>
        <v/>
      </c>
      <c r="P31" s="5">
        <f>4*P29+8*P30</f>
        <v/>
      </c>
      <c r="Q31" s="2">
        <f>4*Q29+8*Q30</f>
        <v/>
      </c>
      <c r="R31" s="2">
        <f>4*R29+8*R30</f>
        <v/>
      </c>
      <c r="S31" s="18">
        <f>SUM(C31:R31)</f>
        <v/>
      </c>
      <c r="T31" s="11" t="n"/>
      <c r="U31" s="11" t="n"/>
      <c r="V31" s="11" t="n"/>
      <c r="W31" s="11" t="n"/>
    </row>
    <row r="32" ht="21" customHeight="1" s="21">
      <c r="B32" s="3" t="inlineStr">
        <is>
          <t>Заявленное проникновение, %</t>
        </is>
      </c>
      <c r="C32" s="2" t="n">
        <v>60</v>
      </c>
      <c r="D32" s="2" t="n">
        <v>60</v>
      </c>
      <c r="E32" s="2" t="n">
        <v>60</v>
      </c>
      <c r="F32" s="2" t="n">
        <v>60</v>
      </c>
      <c r="G32" s="2" t="n">
        <v>60</v>
      </c>
      <c r="H32" s="2" t="n">
        <v>60</v>
      </c>
      <c r="I32" s="2" t="n">
        <v>60</v>
      </c>
      <c r="J32" s="2" t="n">
        <v>60</v>
      </c>
      <c r="K32" s="2" t="n">
        <v>60</v>
      </c>
      <c r="L32" s="2" t="n">
        <v>60</v>
      </c>
      <c r="M32" s="5" t="n">
        <v>60</v>
      </c>
      <c r="N32" s="5" t="n">
        <v>60</v>
      </c>
      <c r="O32" s="5" t="n">
        <v>60</v>
      </c>
      <c r="P32" s="5" t="n">
        <v>60</v>
      </c>
      <c r="Q32" s="2" t="n">
        <v>60</v>
      </c>
      <c r="R32" s="2" t="n">
        <v>60</v>
      </c>
      <c r="S32" s="14" t="n"/>
      <c r="T32" s="11" t="n"/>
      <c r="U32" s="11" t="n"/>
      <c r="V32" s="11" t="n"/>
      <c r="W32" s="11" t="n"/>
    </row>
    <row r="33" ht="21" customHeight="1" s="21">
      <c r="B33" s="8" t="inlineStr">
        <is>
          <t>Заявленное проникновение в коммерцию, %</t>
        </is>
      </c>
      <c r="C33" s="2" t="n">
        <v>20</v>
      </c>
      <c r="D33" s="2" t="n">
        <v>20</v>
      </c>
      <c r="E33" s="2" t="n">
        <v>20</v>
      </c>
      <c r="F33" s="2" t="n">
        <v>20</v>
      </c>
      <c r="G33" s="2" t="n">
        <v>20</v>
      </c>
      <c r="H33" s="2" t="n">
        <v>20</v>
      </c>
      <c r="I33" s="2" t="n">
        <v>20</v>
      </c>
      <c r="J33" s="2" t="n">
        <v>20</v>
      </c>
      <c r="K33" s="2" t="n">
        <v>20</v>
      </c>
      <c r="L33" s="2" t="n">
        <v>20</v>
      </c>
      <c r="M33" s="5" t="n">
        <v>20</v>
      </c>
      <c r="N33" s="5" t="n">
        <v>20</v>
      </c>
      <c r="O33" s="5" t="n">
        <v>20</v>
      </c>
      <c r="P33" s="5" t="n">
        <v>20</v>
      </c>
      <c r="Q33" s="2" t="n">
        <v>20</v>
      </c>
      <c r="R33" s="2" t="n">
        <v>20</v>
      </c>
      <c r="S33" s="14" t="n"/>
      <c r="T33" s="11" t="n"/>
      <c r="U33" s="11" t="n"/>
      <c r="V33" s="11" t="n"/>
      <c r="W33" s="11" t="n"/>
    </row>
    <row r="34" ht="21" customHeight="1" s="21">
      <c r="B34" s="3" t="inlineStr">
        <is>
          <t>Фактическое проникновение, %</t>
        </is>
      </c>
      <c r="C34" s="4">
        <f>((C31-C26*C33/100)/C25)*100</f>
        <v/>
      </c>
      <c r="D34" s="4">
        <f>((D31-D26*D33/100)/D25)*100</f>
        <v/>
      </c>
      <c r="E34" s="4">
        <f>((E31-E26*E33/100)/E25)*100</f>
        <v/>
      </c>
      <c r="F34" s="4">
        <f>((F31-F26*F33/100)/F25)*100</f>
        <v/>
      </c>
      <c r="G34" s="4">
        <f>((G31-G26*G33/100)/G25)*100</f>
        <v/>
      </c>
      <c r="H34" s="4">
        <f>((H31-H26*H33/100)/H25)*100</f>
        <v/>
      </c>
      <c r="I34" s="4">
        <f>((I31-I26*I33/100)/I25)*100</f>
        <v/>
      </c>
      <c r="J34" s="4">
        <f>((J31-J26*J33/100)/J25)*100</f>
        <v/>
      </c>
      <c r="K34" s="4">
        <f>((K31-K26*K33/100)/K25)*100</f>
        <v/>
      </c>
      <c r="L34" s="4">
        <f>((L31-L26*L33/100)/L25)*100</f>
        <v/>
      </c>
      <c r="M34" s="4">
        <f>((M31-M26*M33/100)/M25)*100</f>
        <v/>
      </c>
      <c r="N34" s="4">
        <f>((N31-N26*N33/100)/N25)*100</f>
        <v/>
      </c>
      <c r="O34" s="4">
        <f>((O31-O26*O33/100)/O25)*100</f>
        <v/>
      </c>
      <c r="P34" s="4">
        <f>((P31-P26*P33/100)/P25)*100</f>
        <v/>
      </c>
      <c r="Q34" s="4">
        <f>((Q31-Q26*Q33/100)/Q25)*100</f>
        <v/>
      </c>
      <c r="R34" s="4">
        <f>((R31-R26*R33/100)/R25)*100</f>
        <v/>
      </c>
      <c r="S34" s="14">
        <f>AVERAGE(C34:R34)</f>
        <v/>
      </c>
      <c r="T34" s="11">
        <f>((S31-S26*C33/100)/S25)*100</f>
        <v/>
      </c>
      <c r="U34" s="11" t="inlineStr">
        <is>
          <t>средневзв. по дому, %</t>
        </is>
      </c>
      <c r="V34" s="11" t="n"/>
      <c r="W34" s="11" t="n"/>
    </row>
    <row r="35" ht="21" customHeight="1" s="21">
      <c r="B35" s="3" t="inlineStr">
        <is>
          <t>Отклонение, %</t>
        </is>
      </c>
      <c r="C35" s="1">
        <f>C34-C32</f>
        <v/>
      </c>
      <c r="D35" s="1">
        <f>D34-D32</f>
        <v/>
      </c>
      <c r="E35" s="1">
        <f>E34-E32</f>
        <v/>
      </c>
      <c r="F35" s="1">
        <f>F34-F32</f>
        <v/>
      </c>
      <c r="G35" s="1">
        <f>G34-G32</f>
        <v/>
      </c>
      <c r="H35" s="1">
        <f>H34-H32</f>
        <v/>
      </c>
      <c r="I35" s="1">
        <f>I34-I32</f>
        <v/>
      </c>
      <c r="J35" s="1">
        <f>J34-J32</f>
        <v/>
      </c>
      <c r="K35" s="1">
        <f>K34-K32</f>
        <v/>
      </c>
      <c r="L35" s="1">
        <f>L34-L32</f>
        <v/>
      </c>
      <c r="M35" s="1">
        <f>M34-M32</f>
        <v/>
      </c>
      <c r="N35" s="1">
        <f>N34-N32</f>
        <v/>
      </c>
      <c r="O35" s="1">
        <f>O34-O32</f>
        <v/>
      </c>
      <c r="P35" s="1">
        <f>P34-P32</f>
        <v/>
      </c>
      <c r="Q35" s="1">
        <f>Q34-Q32</f>
        <v/>
      </c>
      <c r="R35" s="1">
        <f>R34-R32</f>
        <v/>
      </c>
      <c r="S35" s="14">
        <f>AVERAGE(C35:R35)</f>
        <v/>
      </c>
      <c r="T35" s="11" t="n"/>
      <c r="U35" s="11" t="n"/>
      <c r="V35" s="11" t="n"/>
      <c r="W35" s="11" t="n"/>
    </row>
    <row r="36" ht="21" customHeight="1" s="21">
      <c r="P36" s="11" t="n"/>
      <c r="Q36" s="11" t="n"/>
      <c r="R36" s="11" t="n"/>
      <c r="S36" s="11" t="n"/>
      <c r="T36" s="11" t="n"/>
      <c r="U36" s="11" t="n"/>
      <c r="V36" s="11" t="n"/>
      <c r="W36" s="11" t="n"/>
    </row>
    <row r="37" ht="21" customHeight="1" s="21">
      <c r="M37" s="20" t="n"/>
      <c r="P37" s="11" t="n"/>
      <c r="Q37" s="11" t="n"/>
      <c r="R37" s="11" t="n"/>
      <c r="S37" s="11" t="n"/>
      <c r="T37" s="11" t="n"/>
      <c r="U37" s="11" t="n"/>
      <c r="V37" s="11" t="n"/>
      <c r="W37" s="11" t="n"/>
    </row>
    <row r="38" ht="21" customHeight="1" s="21">
      <c r="B38" s="22" t="inlineStr">
        <is>
          <t>СВОДКА И ПРОВЕРКА КАСКАДОВ (схема 8-4-4 / 4-8-4, 1:128)</t>
        </is>
      </c>
      <c r="M38" s="10" t="n"/>
      <c r="P38" s="11" t="n"/>
      <c r="Q38" s="11" t="n"/>
      <c r="R38" s="11" t="n"/>
      <c r="S38" s="11" t="n"/>
      <c r="T38" s="11" t="n"/>
      <c r="U38" s="11" t="n"/>
      <c r="V38" s="11" t="n"/>
      <c r="W38" s="11" t="n"/>
    </row>
    <row r="39" ht="21" customHeight="1" s="21">
      <c r="C39" s="23" t="inlineStr">
        <is>
          <t>дом 127</t>
        </is>
      </c>
      <c r="D39" s="23" t="inlineStr">
        <is>
          <t>дом 129</t>
        </is>
      </c>
      <c r="E39" s="23" t="inlineStr">
        <is>
          <t>ИТОГО</t>
        </is>
      </c>
      <c r="P39" s="11" t="n"/>
      <c r="Q39" s="11" t="n"/>
      <c r="R39" s="11" t="n"/>
      <c r="S39" s="11" t="n"/>
      <c r="T39" s="11" t="n"/>
      <c r="U39" s="11" t="n"/>
      <c r="V39" s="11" t="n"/>
      <c r="W39" s="11" t="n"/>
    </row>
    <row r="40">
      <c r="B40" s="24" t="inlineStr">
        <is>
          <t>Абонентских портов (= 4·n4 + 8·n8)</t>
        </is>
      </c>
      <c r="C40" s="24">
        <f>Z16</f>
        <v/>
      </c>
      <c r="D40" s="24">
        <f>S31</f>
        <v/>
      </c>
      <c r="E40" s="24">
        <f>C40+D40</f>
        <v/>
      </c>
    </row>
    <row r="41">
      <c r="B41" s="24" t="inlineStr">
        <is>
          <t>Делителей 1×4 (абонентских)</t>
        </is>
      </c>
      <c r="C41" s="24">
        <f>Z14</f>
        <v/>
      </c>
      <c r="D41" s="24">
        <f>S29</f>
        <v/>
      </c>
      <c r="E41" s="24">
        <f>C41+D41</f>
        <v/>
      </c>
    </row>
    <row r="42">
      <c r="B42" s="24" t="inlineStr">
        <is>
          <t>Делителей 1×8 (абонентских)</t>
        </is>
      </c>
      <c r="C42" s="24">
        <f>Z15</f>
        <v/>
      </c>
      <c r="D42" s="24">
        <f>S30</f>
        <v/>
      </c>
      <c r="E42" s="24">
        <f>C42+D42</f>
        <v/>
      </c>
    </row>
    <row r="43">
      <c r="B43" s="24" t="inlineStr">
        <is>
          <t>Пустых портов на абонентских делителях</t>
        </is>
      </c>
      <c r="C43" s="24" t="n">
        <v>0</v>
      </c>
      <c r="D43" s="24" t="n">
        <v>0</v>
      </c>
      <c r="E43" s="24">
        <f>C43+D43</f>
        <v/>
      </c>
      <c r="M43" s="2" t="n"/>
    </row>
    <row r="45">
      <c r="B45" s="22" t="inlineStr">
        <is>
          <t>Цепочек 1:128 (= портов / 128)</t>
        </is>
      </c>
      <c r="E45" s="25">
        <f>E40/128</f>
        <v/>
      </c>
    </row>
    <row r="46">
      <c r="B46" s="22" t="inlineStr">
        <is>
          <t>Проверка: n4 абон. кратно 32</t>
        </is>
      </c>
      <c r="E46" s="25">
        <f>MOD(E41,32)</f>
        <v/>
      </c>
    </row>
    <row r="47">
      <c r="B47" s="22" t="inlineStr">
        <is>
          <t>Проверка: n8 абон. кратно 16</t>
        </is>
      </c>
      <c r="E47" s="25">
        <f>MOD(E42,16)</f>
        <v/>
      </c>
    </row>
    <row r="48">
      <c r="B48" s="24" t="inlineStr">
        <is>
          <t>Цепочек «484»: 1×4 → 4×1×8 → 32×1×4</t>
        </is>
      </c>
      <c r="E48" s="26">
        <f>E41/32</f>
        <v/>
      </c>
    </row>
    <row r="49">
      <c r="B49" s="24" t="inlineStr">
        <is>
          <t>Цепочек «844»: 1×4 → 4×1×4 → 16×1×8</t>
        </is>
      </c>
      <c r="E49" s="26">
        <f>E42/16</f>
        <v/>
      </c>
    </row>
    <row r="50">
      <c r="B50" s="22" t="inlineStr">
        <is>
          <t>Проверка: «484» + «844» = цепочек всего</t>
        </is>
      </c>
      <c r="E50" s="25">
        <f>E48+E49</f>
        <v/>
      </c>
    </row>
    <row r="51">
      <c r="B51" s="24" t="inlineStr">
        <is>
          <t>Каскад-2: делителей 1×8 (в цепочках «484»)</t>
        </is>
      </c>
      <c r="E51" s="24">
        <f>E48*4</f>
        <v/>
      </c>
    </row>
    <row r="52" ht="21" customHeight="1" s="21">
      <c r="B52" s="24" t="inlineStr">
        <is>
          <t>Каскад-2: делителей 1×4 (в цепочках «844»)</t>
        </is>
      </c>
      <c r="E52" s="24">
        <f>E49*4</f>
        <v/>
      </c>
      <c r="M52" s="20" t="n"/>
    </row>
    <row r="53" ht="21" customHeight="1" s="21">
      <c r="B53" s="24" t="inlineStr">
        <is>
          <t>Каскад-1: делителей 1×4 (по одному на цепочку)</t>
        </is>
      </c>
      <c r="E53" s="24">
        <f>E45</f>
        <v/>
      </c>
      <c r="M53" s="10" t="n"/>
    </row>
    <row r="54" ht="29.25" customHeight="1" s="21">
      <c r="B54" s="22" t="inlineStr">
        <is>
          <t>ВСЕГО делителей 1×4</t>
        </is>
      </c>
      <c r="E54" s="22">
        <f>E41+E52+E53</f>
        <v/>
      </c>
    </row>
    <row r="55" ht="15" customHeight="1" s="21">
      <c r="B55" s="22" t="inlineStr">
        <is>
          <t>ВСЕГО делителей 1×8</t>
        </is>
      </c>
      <c r="E55" s="22">
        <f>E42+E51</f>
        <v/>
      </c>
    </row>
    <row r="58">
      <c r="M58" s="2" t="n"/>
    </row>
    <row r="67" ht="21" customHeight="1" s="21">
      <c r="M67" s="20" t="n"/>
    </row>
    <row r="68" ht="21" customHeight="1" s="21">
      <c r="M68" s="10" t="n"/>
    </row>
    <row r="72" ht="31.5" customHeight="1" s="21"/>
    <row r="73">
      <c r="M73" s="2" t="n"/>
    </row>
    <row r="76" ht="14.4" customHeight="1" s="21"/>
    <row r="91" ht="14.4" customHeight="1" s="21"/>
    <row r="94" ht="15" customHeight="1" s="21"/>
    <row r="106" ht="14.4" customHeight="1" s="21"/>
    <row r="121" ht="14.4" customHeight="1" s="21"/>
    <row r="136" ht="14.4" customHeight="1" s="21"/>
    <row r="140">
      <c r="B140" s="3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</sheetData>
  <mergeCells count="2">
    <mergeCell ref="C22:R22"/>
    <mergeCell ref="C7:Y7"/>
  </mergeCell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9" customWidth="1" style="21" min="1" max="1"/>
    <col width="8" customWidth="1" style="21" min="2" max="2"/>
    <col width="9" customWidth="1" style="21" min="3" max="3"/>
    <col width="16" customWidth="1" style="21" min="4" max="4"/>
    <col width="11" customWidth="1" style="21" min="5" max="5"/>
    <col width="150" customWidth="1" style="21" min="6" max="6"/>
    <col width="8" customWidth="1" style="21" min="7" max="7"/>
  </cols>
  <sheetData>
    <row r="1">
      <c r="A1" s="27" t="inlineStr">
        <is>
          <t>РАСКЛАДКА КАСКАДОВ — 6 цепочек × 128 портов = 768, пустых портов нет ни на одном делителе</t>
        </is>
      </c>
    </row>
    <row r="3">
      <c r="A3" s="23" t="inlineStr">
        <is>
          <t>Цепочка</t>
        </is>
      </c>
      <c r="B3" s="23" t="inlineStr">
        <is>
          <t>Схема</t>
        </is>
      </c>
      <c r="C3" s="23" t="inlineStr">
        <is>
          <t>Каскад 1</t>
        </is>
      </c>
      <c r="D3" s="23" t="inlineStr">
        <is>
          <t>Каскад 2</t>
        </is>
      </c>
      <c r="E3" s="23" t="inlineStr">
        <is>
          <t>Дом</t>
        </is>
      </c>
      <c r="F3" s="23" t="inlineStr">
        <is>
          <t>Состав каскада 2 → абонентские делители</t>
        </is>
      </c>
      <c r="G3" s="23" t="inlineStr">
        <is>
          <t>Портов</t>
        </is>
      </c>
    </row>
    <row r="4">
      <c r="A4" s="24" t="inlineStr">
        <is>
          <t>#1</t>
        </is>
      </c>
      <c r="B4" s="24" t="inlineStr">
        <is>
          <t>8-4-4</t>
        </is>
      </c>
      <c r="C4" s="24" t="inlineStr">
        <is>
          <t>1×4</t>
        </is>
      </c>
      <c r="D4" s="24" t="inlineStr">
        <is>
          <t>1×4 №1 → 4 шт.</t>
        </is>
      </c>
      <c r="E4" s="24" t="inlineStr">
        <is>
          <t>дом 127</t>
        </is>
      </c>
      <c r="F4" s="24" t="inlineStr">
        <is>
          <t>д.127 п.1 | д.127 п.3 | д.127 п.6 | д.127 п.6</t>
        </is>
      </c>
      <c r="G4" s="24" t="n">
        <v>128</v>
      </c>
    </row>
    <row r="5">
      <c r="A5" s="24" t="inlineStr"/>
      <c r="B5" s="24" t="inlineStr"/>
      <c r="C5" s="24" t="inlineStr"/>
      <c r="D5" s="24" t="inlineStr">
        <is>
          <t>1×4 №2 → 4 шт.</t>
        </is>
      </c>
      <c r="E5" s="24" t="inlineStr"/>
      <c r="F5" s="24" t="inlineStr">
        <is>
          <t>д.127 п.7 | д.127 п.7 | д.127 п.8 | д.127 п.10</t>
        </is>
      </c>
      <c r="G5" s="24" t="inlineStr"/>
    </row>
    <row r="6">
      <c r="A6" s="24" t="inlineStr"/>
      <c r="B6" s="24" t="inlineStr"/>
      <c r="C6" s="24" t="inlineStr"/>
      <c r="D6" s="24" t="inlineStr">
        <is>
          <t>1×4 №3 → 4 шт.</t>
        </is>
      </c>
      <c r="E6" s="24" t="inlineStr"/>
      <c r="F6" s="24" t="inlineStr">
        <is>
          <t>д.127 п.10 | д.127 п.10 | д.127 п.12 | д.127 п.12</t>
        </is>
      </c>
      <c r="G6" s="24" t="inlineStr"/>
    </row>
    <row r="7">
      <c r="A7" s="24" t="inlineStr"/>
      <c r="B7" s="24" t="inlineStr"/>
      <c r="C7" s="24" t="inlineStr"/>
      <c r="D7" s="24" t="inlineStr">
        <is>
          <t>1×4 №4 → 4 шт.</t>
        </is>
      </c>
      <c r="E7" s="24" t="inlineStr"/>
      <c r="F7" s="24" t="inlineStr">
        <is>
          <t>д.127 п.12 | д.127 п.14 | д.127 п.14 | д.127 п.14</t>
        </is>
      </c>
      <c r="G7" s="24" t="inlineStr"/>
    </row>
    <row r="8">
      <c r="A8" s="24" t="inlineStr">
        <is>
          <t>#2</t>
        </is>
      </c>
      <c r="B8" s="24" t="inlineStr">
        <is>
          <t>8-4-4</t>
        </is>
      </c>
      <c r="C8" s="24" t="inlineStr">
        <is>
          <t>1×4</t>
        </is>
      </c>
      <c r="D8" s="24" t="inlineStr">
        <is>
          <t>1×4 №1 → 4 шт.</t>
        </is>
      </c>
      <c r="E8" s="24" t="inlineStr">
        <is>
          <t>дом 127</t>
        </is>
      </c>
      <c r="F8" s="24" t="inlineStr">
        <is>
          <t>д.127 п.16 | д.127 п.16 | д.127 п.16 | д.127 п.17</t>
        </is>
      </c>
      <c r="G8" s="24" t="n">
        <v>128</v>
      </c>
    </row>
    <row r="9">
      <c r="A9" s="24" t="inlineStr"/>
      <c r="B9" s="24" t="inlineStr"/>
      <c r="C9" s="24" t="inlineStr"/>
      <c r="D9" s="24" t="inlineStr">
        <is>
          <t>1×4 №2 → 4 шт.</t>
        </is>
      </c>
      <c r="E9" s="24" t="inlineStr"/>
      <c r="F9" s="24" t="inlineStr">
        <is>
          <t>д.127 п.18 | д.127 п.19 | д.127 п.19 | д.127 п.20</t>
        </is>
      </c>
      <c r="G9" s="24" t="inlineStr"/>
    </row>
    <row r="10">
      <c r="A10" s="24" t="inlineStr"/>
      <c r="B10" s="24" t="inlineStr"/>
      <c r="C10" s="24" t="inlineStr"/>
      <c r="D10" s="24" t="inlineStr">
        <is>
          <t>1×4 №3 → 4 шт.</t>
        </is>
      </c>
      <c r="E10" s="24" t="inlineStr"/>
      <c r="F10" s="24" t="inlineStr">
        <is>
          <t>д.127 п.20 | д.127 п.21 | д.127 п.22 | д.127 п.22</t>
        </is>
      </c>
      <c r="G10" s="24" t="inlineStr"/>
    </row>
    <row r="11">
      <c r="A11" s="24" t="inlineStr"/>
      <c r="B11" s="24" t="inlineStr"/>
      <c r="C11" s="24" t="inlineStr"/>
      <c r="D11" s="24" t="inlineStr">
        <is>
          <t>1×4 №4 → 4 шт.</t>
        </is>
      </c>
      <c r="E11" s="24" t="inlineStr"/>
      <c r="F11" s="24" t="inlineStr">
        <is>
          <t>д.127 п.22 | д.127 п.23 | д.127 п.23 | д.127 п.23</t>
        </is>
      </c>
      <c r="G11" s="24" t="inlineStr"/>
    </row>
    <row r="12">
      <c r="A12" s="24" t="inlineStr">
        <is>
          <t>#3</t>
        </is>
      </c>
      <c r="B12" s="24" t="inlineStr">
        <is>
          <t>8-4-4</t>
        </is>
      </c>
      <c r="C12" s="24" t="inlineStr">
        <is>
          <t>1×4</t>
        </is>
      </c>
      <c r="D12" s="24" t="inlineStr">
        <is>
          <t>1×4 №1 → 4 шт.</t>
        </is>
      </c>
      <c r="E12" s="24" t="inlineStr">
        <is>
          <t>дом 129</t>
        </is>
      </c>
      <c r="F12" s="24" t="inlineStr">
        <is>
          <t>д.129 п.1 | д.129 п.3 | д.129 п.4 | д.129 п.5</t>
        </is>
      </c>
      <c r="G12" s="24" t="n">
        <v>128</v>
      </c>
    </row>
    <row r="13">
      <c r="A13" s="24" t="inlineStr"/>
      <c r="B13" s="24" t="inlineStr"/>
      <c r="C13" s="24" t="inlineStr"/>
      <c r="D13" s="24" t="inlineStr">
        <is>
          <t>1×4 №2 → 4 шт.</t>
        </is>
      </c>
      <c r="E13" s="24" t="inlineStr"/>
      <c r="F13" s="24" t="inlineStr">
        <is>
          <t>д.129 п.6 | д.129 п.6 | д.129 п.6 | д.129 п.7</t>
        </is>
      </c>
      <c r="G13" s="24" t="inlineStr"/>
    </row>
    <row r="14">
      <c r="A14" s="24" t="inlineStr"/>
      <c r="B14" s="24" t="inlineStr"/>
      <c r="C14" s="24" t="inlineStr"/>
      <c r="D14" s="24" t="inlineStr">
        <is>
          <t>1×4 №3 → 4 шт.</t>
        </is>
      </c>
      <c r="E14" s="24" t="inlineStr"/>
      <c r="F14" s="24" t="inlineStr">
        <is>
          <t>д.129 п.8 | д.129 п.8 | д.129 п.8 | д.129 п.9</t>
        </is>
      </c>
      <c r="G14" s="24" t="inlineStr"/>
    </row>
    <row r="15">
      <c r="A15" s="24" t="inlineStr"/>
      <c r="B15" s="24" t="inlineStr"/>
      <c r="C15" s="24" t="inlineStr"/>
      <c r="D15" s="24" t="inlineStr">
        <is>
          <t>1×4 №4 → 4 шт.</t>
        </is>
      </c>
      <c r="E15" s="24" t="inlineStr"/>
      <c r="F15" s="24" t="inlineStr">
        <is>
          <t>д.129 п.10 | д.129 п.12 | д.129 п.15 | д.129 п.16</t>
        </is>
      </c>
      <c r="G15" s="24" t="inlineStr"/>
    </row>
    <row r="16">
      <c r="A16" s="24" t="inlineStr">
        <is>
          <t>#4</t>
        </is>
      </c>
      <c r="B16" s="24" t="inlineStr">
        <is>
          <t>4-8-4</t>
        </is>
      </c>
      <c r="C16" s="24" t="inlineStr">
        <is>
          <t>1×4</t>
        </is>
      </c>
      <c r="D16" s="24" t="inlineStr">
        <is>
          <t>1×8 №1 → 8 шт.</t>
        </is>
      </c>
      <c r="E16" s="24" t="inlineStr">
        <is>
          <t>дом 127</t>
        </is>
      </c>
      <c r="F16" s="24" t="inlineStr">
        <is>
          <t>д.127 п.1(4п) | д.127 п.1(4п) | д.127 п.1(4п) | д.127 п.1(1п)/2(3п) | д.127 п.2(4п) | д.127 п.2(4п) | д.127 п.2(4п) | д.127 п.2(1п)/3(3п)</t>
        </is>
      </c>
      <c r="G16" s="24" t="n">
        <v>128</v>
      </c>
    </row>
    <row r="17">
      <c r="A17" s="24" t="inlineStr"/>
      <c r="B17" s="24" t="inlineStr"/>
      <c r="C17" s="24" t="inlineStr"/>
      <c r="D17" s="24" t="inlineStr">
        <is>
          <t>1×8 №2 → 8 шт.</t>
        </is>
      </c>
      <c r="E17" s="24" t="inlineStr"/>
      <c r="F17" s="24" t="inlineStr">
        <is>
          <t>д.127 п.3(4п) | д.127 п.3(4п) | д.127 п.4(4п) | д.127 п.4(4п) | д.127 п.4(1п)/5(3п) | д.127 п.5(4п) | д.127 п.5(2п)/6(2п) | д.127 п.6(4п)</t>
        </is>
      </c>
      <c r="G17" s="24" t="inlineStr"/>
    </row>
    <row r="18">
      <c r="A18" s="24" t="inlineStr"/>
      <c r="B18" s="24" t="inlineStr"/>
      <c r="C18" s="24" t="inlineStr"/>
      <c r="D18" s="24" t="inlineStr">
        <is>
          <t>1×8 №3 → 8 шт.</t>
        </is>
      </c>
      <c r="E18" s="24" t="inlineStr"/>
      <c r="F18" s="24" t="inlineStr">
        <is>
          <t>д.127 п.6(1п)/7(3п) | д.127 п.7(4п) | д.127 п.8(4п) | д.127 п.8(4п) | д.127 п.8(4п) | д.127 п.8(1п)/9(3п) | д.127 п.9(4п) | д.127 п.9(4п)</t>
        </is>
      </c>
      <c r="G18" s="24" t="inlineStr"/>
    </row>
    <row r="19">
      <c r="A19" s="24" t="inlineStr"/>
      <c r="B19" s="24" t="inlineStr"/>
      <c r="C19" s="24" t="inlineStr"/>
      <c r="D19" s="24" t="inlineStr">
        <is>
          <t>1×8 №4 → 8 шт.</t>
        </is>
      </c>
      <c r="E19" s="24" t="inlineStr"/>
      <c r="F19" s="24" t="inlineStr">
        <is>
          <t>д.127 п.9(4п) | д.127 п.10(1п)/11(3п) | д.127 п.11(4п) | д.127 п.12(4п) | д.127 п.12(4п) | д.127 п.13(4п) | д.127 п.13(4п) | д.127 п.13(3п)/14(1п)</t>
        </is>
      </c>
      <c r="G19" s="24" t="inlineStr"/>
    </row>
    <row r="20">
      <c r="A20" s="24" t="inlineStr">
        <is>
          <t>#5</t>
        </is>
      </c>
      <c r="B20" s="24" t="inlineStr">
        <is>
          <t>4-8-4</t>
        </is>
      </c>
      <c r="C20" s="24" t="inlineStr">
        <is>
          <t>1×4</t>
        </is>
      </c>
      <c r="D20" s="24" t="inlineStr">
        <is>
          <t>1×8 №1 → 8 шт.</t>
        </is>
      </c>
      <c r="E20" s="24" t="inlineStr">
        <is>
          <t>дом 129</t>
        </is>
      </c>
      <c r="F20" s="24" t="inlineStr">
        <is>
          <t>д.129 п.1(4п) | д.129 п.1(4п) | д.129 п.1(2п)/2(2п) | д.129 п.2(4п) | д.129 п.2(4п) | д.129 п.2(4п) | д.129 п.3(4п) | д.129 п.3(4п)</t>
        </is>
      </c>
      <c r="G20" s="24" t="n">
        <v>128</v>
      </c>
    </row>
    <row r="21">
      <c r="A21" s="24" t="inlineStr"/>
      <c r="B21" s="24" t="inlineStr"/>
      <c r="C21" s="24" t="inlineStr"/>
      <c r="D21" s="24" t="inlineStr">
        <is>
          <t>1×8 №2 → 8 шт.</t>
        </is>
      </c>
      <c r="E21" s="24" t="inlineStr"/>
      <c r="F21" s="24" t="inlineStr">
        <is>
          <t>д.129 п.3(4п) | д.129 п.3(2п)/4(2п) | д.129 п.4(4п) | д.129 п.4(4п) | д.129 п.4(4п) | д.129 п.5(4п) | д.129 п.5(4п) | д.129 п.5(4п)</t>
        </is>
      </c>
      <c r="G21" s="24" t="inlineStr"/>
    </row>
    <row r="22">
      <c r="A22" s="24" t="inlineStr"/>
      <c r="B22" s="24" t="inlineStr"/>
      <c r="C22" s="24" t="inlineStr"/>
      <c r="D22" s="24" t="inlineStr">
        <is>
          <t>1×8 №3 → 8 шт.</t>
        </is>
      </c>
      <c r="E22" s="24" t="inlineStr"/>
      <c r="F22" s="24" t="inlineStr">
        <is>
          <t>д.129 п.5(3п)/6(1п) | д.129 п.6(4п) | д.129 п.6(2п)/7(2п) | д.129 п.7(4п) | д.129 п.7(4п) | д.129 п.7(3п)/8(1п) | д.129 п.8(4п) | д.129 п.8(2п)/9(2п)</t>
        </is>
      </c>
      <c r="G22" s="24" t="inlineStr"/>
    </row>
    <row r="23">
      <c r="A23" s="24" t="inlineStr"/>
      <c r="B23" s="24" t="inlineStr"/>
      <c r="C23" s="24" t="inlineStr"/>
      <c r="D23" s="24" t="inlineStr">
        <is>
          <t>1×8 №4 → 8 шт.</t>
        </is>
      </c>
      <c r="E23" s="24" t="inlineStr"/>
      <c r="F23" s="24" t="inlineStr">
        <is>
          <t>д.129 п.9(4п) | д.129 п.9(4п) | д.129 п.9(4п) | д.129 п.9(1п)/10(3п) | д.129 п.10(4п) | д.129 п.10(3п)/11(1п) | д.129 п.11(4п) | д.129 п.11(4п)</t>
        </is>
      </c>
      <c r="G23" s="24" t="inlineStr"/>
    </row>
    <row r="24">
      <c r="A24" s="24" t="inlineStr">
        <is>
          <t>#6</t>
        </is>
      </c>
      <c r="B24" s="24" t="inlineStr">
        <is>
          <t>4-8-4</t>
        </is>
      </c>
      <c r="C24" s="24" t="inlineStr">
        <is>
          <t>1×4</t>
        </is>
      </c>
      <c r="D24" s="24" t="inlineStr">
        <is>
          <t>1×8 №1 → 8 шт.</t>
        </is>
      </c>
      <c r="E24" s="24" t="inlineStr">
        <is>
          <t>127 + 129</t>
        </is>
      </c>
      <c r="F24" s="24" t="inlineStr">
        <is>
          <t>д.127 п.14(4п) | д.127 п.14(3п)/15(1п) | д.127 п.15(4п) | д.127 п.15(2п)/16(1п)/17(1п) | д.127 п.17(4п) | д.127 п.17(4п) | д.127 п.18(4п) | д.127 п.18(4п)</t>
        </is>
      </c>
      <c r="G24" s="24" t="n">
        <v>128</v>
      </c>
    </row>
    <row r="25">
      <c r="A25" s="24" t="inlineStr"/>
      <c r="B25" s="24" t="inlineStr"/>
      <c r="C25" s="24" t="inlineStr"/>
      <c r="D25" s="24" t="inlineStr">
        <is>
          <t>1×8 №2 → 8 шт.</t>
        </is>
      </c>
      <c r="E25" s="24" t="inlineStr"/>
      <c r="F25" s="24" t="inlineStr">
        <is>
          <t>д.127 п.18(1п)/19(3п) | д.127 п.19(4п) | д.127 п.20(4п) | д.127 п.20(3п)/21(1п) | д.127 п.21(4п) | д.127 п.21(4п) | д.127 п.21(3п)/22(1п) | д.127 п.22(4п)</t>
        </is>
      </c>
      <c r="G25" s="24" t="inlineStr"/>
    </row>
    <row r="26">
      <c r="A26" s="24" t="inlineStr"/>
      <c r="B26" s="24" t="inlineStr"/>
      <c r="C26" s="24" t="inlineStr"/>
      <c r="D26" s="24" t="inlineStr">
        <is>
          <t>1×8 №3 → 8 шт.</t>
        </is>
      </c>
      <c r="E26" s="24" t="inlineStr"/>
      <c r="F26" s="24" t="inlineStr">
        <is>
          <t>д.127 п.22(2п)/23(2п) | д.129 п.12(4п) | д.129 п.12(4п) | д.129 п.12(2п)/13(2п) | д.129 п.13(4п) | д.129 п.13(3п)/14(1п) | д.129 п.14(4п) | д.129 п.14(4п)</t>
        </is>
      </c>
      <c r="G26" s="24" t="inlineStr"/>
    </row>
    <row r="27">
      <c r="A27" s="24" t="inlineStr"/>
      <c r="B27" s="24" t="inlineStr"/>
      <c r="C27" s="24" t="inlineStr"/>
      <c r="D27" s="24" t="inlineStr">
        <is>
          <t>1×8 №4 → 8 шт.</t>
        </is>
      </c>
      <c r="E27" s="24" t="inlineStr"/>
      <c r="F27" s="24" t="inlineStr">
        <is>
          <t>д.129 п.15(4п) | д.129 п.15(4п) | д.129 п.15(4п) | д.129 п.15(4п) | д.129 п.16(4п) | д.129 п.16(4п) | д.129 п.16(4п) | д.129 п.16(4п)</t>
        </is>
      </c>
      <c r="G27" s="24" t="inlineStr"/>
    </row>
    <row r="29">
      <c r="A29" s="28" t="inlineStr">
        <is>
          <t>ИТОГО</t>
        </is>
      </c>
      <c r="B29" s="28" t="inlineStr">
        <is>
          <t>3 цепочки 8-4-4 + 3 цепочки 4-8-4</t>
        </is>
      </c>
      <c r="G29" s="28" t="n">
        <v>768</v>
      </c>
    </row>
    <row r="31">
      <c r="A31" t="inlineStr">
        <is>
          <t>Схема 8-4-4: каскад-1 1×4 → 4 шт. 1×4 (каскад-2) → по 4 шт. абонентских 1×8 = 16×8 = 128 портов.</t>
        </is>
      </c>
    </row>
    <row r="32">
      <c r="A32" t="inlineStr">
        <is>
          <t>Схема 4-8-4: каскад-1 1×4 → 4 шт. 1×8 (каскад-2) → по 8 шт. абонентских 1×4 = 32×4 = 128 портов.</t>
        </is>
      </c>
    </row>
    <row r="33">
      <c r="A33" t="inlineStr">
        <is>
          <t>Запись «п.6(3п)/7(1п)» — абонентский 1×4 расшарен: 3 порта в п.6 и 1 порт в п.7.</t>
        </is>
      </c>
    </row>
    <row r="34">
      <c r="A34" t="inlineStr">
        <is>
          <t>Цепочка #6 — единственная, идущая через оба дома (17 делителей в д.127 + 15 в д.129).</t>
        </is>
      </c>
    </row>
    <row r="35">
      <c r="A35" t="inlineStr">
        <is>
          <t>Оборудование: 1×4 — 114 шт. (96 абон. + 12 каскад-2 + 6 каскад-1), 1×8 — 60 шт. (48 абон. + 12 каскад-2).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Никита Заренков</dc:creator>
  <dcterms:created xsi:type="dcterms:W3CDTF">2015-06-05T18:17:20Z</dcterms:created>
  <dcterms:modified xsi:type="dcterms:W3CDTF">2026-09-10T12:46:55Z</dcterms:modified>
  <cp:lastModifiedBy>Сергей Краснов</cp:lastModifiedBy>
</cp:coreProperties>
</file>